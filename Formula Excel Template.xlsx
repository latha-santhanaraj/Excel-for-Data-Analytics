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9A10D98-4FE8-4696-83F4-F1BF3EA54776}" xr6:coauthVersionLast="47" xr6:coauthVersionMax="47" xr10:uidLastSave="{00000000-0000-0000-0000-000000000000}"/>
  <bookViews>
    <workbookView xWindow="-108" yWindow="-108" windowWidth="23256" windowHeight="13896" firstSheet="4" activeTab="9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10" i="5"/>
  <c r="L3" i="5"/>
  <c r="L4" i="5"/>
  <c r="L5" i="5"/>
  <c r="L6" i="5"/>
  <c r="L7" i="5"/>
  <c r="L8" i="5"/>
  <c r="L9" i="5"/>
  <c r="L10" i="5"/>
  <c r="J3" i="5"/>
  <c r="J4" i="5"/>
  <c r="J5" i="5"/>
  <c r="J6" i="5"/>
  <c r="J7" i="5"/>
  <c r="J8" i="5"/>
  <c r="J9" i="5"/>
  <c r="J10" i="5"/>
  <c r="K3" i="13"/>
  <c r="K4" i="13"/>
  <c r="K5" i="13"/>
  <c r="K6" i="13"/>
  <c r="K7" i="13"/>
  <c r="K8" i="13"/>
  <c r="K9" i="13"/>
  <c r="K10" i="13"/>
  <c r="J6" i="13"/>
  <c r="J3" i="13"/>
  <c r="J4" i="13"/>
  <c r="J5" i="13"/>
  <c r="J7" i="13"/>
  <c r="J8" i="13"/>
  <c r="J9" i="13"/>
  <c r="J10" i="13"/>
  <c r="K2" i="13"/>
  <c r="J2" i="13"/>
  <c r="L2" i="5"/>
  <c r="K2" i="5"/>
  <c r="J2" i="5"/>
  <c r="L2" i="12"/>
  <c r="K2" i="12"/>
  <c r="J2" i="12"/>
  <c r="K3" i="7"/>
  <c r="K4" i="7"/>
  <c r="K5" i="7"/>
  <c r="K6" i="7"/>
  <c r="K7" i="7"/>
  <c r="K8" i="7"/>
  <c r="K9" i="7"/>
  <c r="K10" i="7"/>
  <c r="K2" i="7"/>
  <c r="J2" i="7"/>
  <c r="J3" i="7"/>
  <c r="J4" i="7"/>
  <c r="J5" i="7"/>
  <c r="J6" i="7"/>
  <c r="J7" i="7"/>
  <c r="J8" i="7"/>
  <c r="J9" i="7"/>
  <c r="J10" i="7"/>
  <c r="L3" i="7"/>
  <c r="L4" i="7"/>
  <c r="L5" i="7"/>
  <c r="L6" i="7"/>
  <c r="L7" i="7"/>
  <c r="L8" i="7"/>
  <c r="L9" i="7"/>
  <c r="L10" i="7"/>
  <c r="L2" i="7"/>
  <c r="J3" i="1"/>
  <c r="J4" i="1"/>
  <c r="J5" i="1"/>
  <c r="J6" i="1"/>
  <c r="J7" i="1"/>
  <c r="J8" i="1"/>
  <c r="J9" i="1"/>
  <c r="J10" i="1"/>
  <c r="J11" i="1"/>
  <c r="J12" i="1"/>
  <c r="J2" i="1"/>
  <c r="J2" i="6" a="1"/>
  <c r="J2" i="6" s="1"/>
  <c r="J3" i="3"/>
  <c r="J4" i="3"/>
  <c r="J5" i="3"/>
  <c r="J6" i="3"/>
  <c r="J7" i="3"/>
  <c r="J8" i="3"/>
  <c r="J9" i="3"/>
  <c r="J10" i="3"/>
  <c r="J2" i="3"/>
  <c r="L3" i="4"/>
  <c r="L4" i="4"/>
  <c r="L5" i="4"/>
  <c r="L6" i="4"/>
  <c r="L7" i="4"/>
  <c r="L8" i="4"/>
  <c r="L9" i="4"/>
  <c r="L10" i="4"/>
  <c r="L2" i="4"/>
  <c r="K3" i="4"/>
  <c r="K4" i="4"/>
  <c r="K5" i="4"/>
  <c r="K6" i="4"/>
  <c r="K7" i="4"/>
  <c r="K8" i="4"/>
  <c r="K9" i="4"/>
  <c r="K10" i="4"/>
  <c r="K2" i="4"/>
  <c r="J2" i="2" a="1"/>
  <c r="J2" i="2" s="1"/>
  <c r="K5" i="9" a="1"/>
  <c r="K5" i="9" s="1"/>
  <c r="K6" i="9" a="1"/>
  <c r="K6" i="9" s="1"/>
  <c r="K7" i="9" a="1"/>
  <c r="K7" i="9" s="1"/>
  <c r="K8" i="9" a="1"/>
  <c r="K8" i="9"/>
  <c r="K9" i="9" a="1"/>
  <c r="K9" i="9" s="1"/>
  <c r="K10" i="9" a="1"/>
  <c r="K10" i="9"/>
  <c r="K4" i="9" a="1"/>
  <c r="K4" i="9" s="1"/>
  <c r="J5" i="9"/>
  <c r="J6" i="9"/>
  <c r="J7" i="9"/>
  <c r="J8" i="9"/>
  <c r="J9" i="9"/>
  <c r="J10" i="9"/>
  <c r="J4" i="9"/>
  <c r="J3" i="9"/>
  <c r="J2" i="9"/>
  <c r="H11" i="1"/>
  <c r="H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<sst xmlns="http://schemas.openxmlformats.org/spreadsheetml/2006/main" count="582" uniqueCount="90">
  <si>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</si>
  <si>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</si>
  <si>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</si>
  <si>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</si>
  <si>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</si>
  <si>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</si>
  <si>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</si>
  <si>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</si>
  <si>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</si>
  <si>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Max</t>
  </si>
  <si>
    <t>Min</t>
  </si>
  <si>
    <t>Jim</t>
  </si>
  <si>
    <t>Halpert</t>
  </si>
  <si>
    <t>Male</t>
  </si>
  <si>
    <t>Salesman</t>
  </si>
  <si>
    <t>Pam</t>
  </si>
  <si>
    <t>Beasley</t>
  </si>
  <si>
    <t>Female</t>
  </si>
  <si>
    <t>Receptionist</t>
  </si>
  <si>
    <t>Dwight</t>
  </si>
  <si>
    <t>Schrute</t>
  </si>
  <si>
    <t>Angela</t>
  </si>
  <si>
    <t>Martin</t>
  </si>
  <si>
    <t>Accountant</t>
  </si>
  <si>
    <t>Toby</t>
  </si>
  <si>
    <t>Flenderson</t>
  </si>
  <si>
    <t>HR</t>
  </si>
  <si>
    <t>Michael</t>
  </si>
  <si>
    <t>Scott</t>
  </si>
  <si>
    <t>Regional Manager</t>
  </si>
  <si>
    <t>Meredith</t>
  </si>
  <si>
    <t>Palmer</t>
  </si>
  <si>
    <t>Supplier Relations</t>
  </si>
  <si>
    <t>Stanley</t>
  </si>
  <si>
    <t>Hudson</t>
  </si>
  <si>
    <t>Kevin</t>
  </si>
  <si>
    <t>Malone</t>
  </si>
  <si>
    <t>IF</t>
  </si>
  <si>
    <t>IFS</t>
  </si>
  <si>
    <t>LEN(B2)</t>
  </si>
  <si>
    <t>Can be used to see difference between 100s and thousands. Can find bad Social Security numbers if they're 10 digits instead of 9</t>
  </si>
  <si>
    <t>Email</t>
  </si>
  <si>
    <t>Left</t>
  </si>
  <si>
    <t>Right</t>
  </si>
  <si>
    <t>11/2/2001</t>
  </si>
  <si>
    <t>9/6/2015</t>
  </si>
  <si>
    <t>Jim.Halpert@DunderMifflin.com</t>
  </si>
  <si>
    <t>10/3/1999</t>
  </si>
  <si>
    <t>10/10/2015</t>
  </si>
  <si>
    <t>Pam.Beasley@DunderMifflin.com</t>
  </si>
  <si>
    <t>7/4/2000</t>
  </si>
  <si>
    <t>9/8/2017</t>
  </si>
  <si>
    <t>Dwight.Schrute@AOL.com</t>
  </si>
  <si>
    <t>1/5/2000</t>
  </si>
  <si>
    <t>12/3/2015</t>
  </si>
  <si>
    <t>Angela.Martin@DunderMifflin.com</t>
  </si>
  <si>
    <t>5/6/2001</t>
  </si>
  <si>
    <t>8/30/2017</t>
  </si>
  <si>
    <t>Toby.Flenderson@DunderMifflinCorporate.com</t>
  </si>
  <si>
    <t>9/11/2013</t>
  </si>
  <si>
    <t>Michael.Scott@DunderMifflin.com</t>
  </si>
  <si>
    <t>11/8/2003</t>
  </si>
  <si>
    <t>Meredith.Palmer@Yahoo.com</t>
  </si>
  <si>
    <t>6/9/2002</t>
  </si>
  <si>
    <t>4/22/2015</t>
  </si>
  <si>
    <t>Stanley.Hudson@gmail.com</t>
  </si>
  <si>
    <t>8/10/2003</t>
  </si>
  <si>
    <t>Kevin.Malone@DunderMifflin.com</t>
  </si>
  <si>
    <t>TEXT(H2,"dd/mm/yyyy")</t>
  </si>
  <si>
    <t>TRIM(C2)</t>
  </si>
  <si>
    <t>It just removes unwanted spaces on both sides</t>
  </si>
  <si>
    <t xml:space="preserve"> Schrute</t>
  </si>
  <si>
    <t xml:space="preserve">Flenderson    </t>
  </si>
  <si>
    <t xml:space="preserve">   Scott</t>
  </si>
  <si>
    <t xml:space="preserve">  Hudson</t>
  </si>
  <si>
    <t xml:space="preserve">Malone 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</si>
  <si>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</si>
  <si>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</si>
  <si>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</si>
  <si>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</si>
  <si>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</si>
  <si>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</si>
  <si>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</si>
  <si>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</si>
  <si>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</si>
  <si>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CONCATENATE(B2," ",C2)</t>
  </si>
  <si>
    <t>DAYS</t>
  </si>
  <si>
    <t>NETWORKDAYS</t>
  </si>
  <si>
    <t>used if statement</t>
  </si>
  <si>
    <t>on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</si>
</sst>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4"/>
  <sheetViews>
    <sheetView workbookViewId="0">
      <selection activeCell="K4" sqref="K4:K10"/>
    </sheetView>
  </sheetViews>
  <sheetFormatPr defaultColWidth="13.6640625" defaultRowHeight="14.4" x14ac:dyDescent="0.3"/>
  <cols>
    <col min="1" max="1" width="10.6640625" bestFit="1" customWidth="1"/>
    <col min="4" max="4" width="7.6640625" customWidth="1"/>
    <col min="10" max="10" width="15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1">
        <v>37197</v>
      </c>
      <c r="I2" s="1">
        <v>42253</v>
      </c>
      <c r="J2" s="3">
        <f>MAX(G2:G10)</f>
        <v>65000</v>
      </c>
      <c r="K2" s="3"/>
    </row>
    <row r="3" spans="1:11" x14ac:dyDescent="0.3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1">
        <v>36436</v>
      </c>
      <c r="I3" s="1">
        <v>42287</v>
      </c>
      <c r="J3">
        <f>MIN(D2:D10)</f>
        <v>29</v>
      </c>
    </row>
    <row r="4" spans="1:11" x14ac:dyDescent="0.3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1">
        <v>36711</v>
      </c>
      <c r="I4" s="1">
        <v>42986</v>
      </c>
      <c r="J4" t="str">
        <f>IF(F4="Salesman","Recruit","Later")</f>
        <v>Recruit</v>
      </c>
      <c r="K4" t="str" cm="1">
        <f t="array" ref="K4">_xlfn.IFS(YEAR(I4)&lt;2017,"Promotion",TRUE,"Hike")</f>
        <v>Hike</v>
      </c>
    </row>
    <row r="5" spans="1:11" x14ac:dyDescent="0.3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1">
        <v>36530</v>
      </c>
      <c r="I5" s="1">
        <v>42341</v>
      </c>
      <c r="J5" t="str">
        <f t="shared" ref="J5:J10" si="0">IF(F5="Salesman","Recruit","Later")</f>
        <v>Later</v>
      </c>
      <c r="K5" t="str" cm="1">
        <f t="array" ref="K5">_xlfn.IFS(YEAR(I5)&lt;2017,"Promotion",TRUE,"Hike")</f>
        <v>Promotion</v>
      </c>
    </row>
    <row r="6" spans="1:11" x14ac:dyDescent="0.3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1">
        <v>37017</v>
      </c>
      <c r="I6" s="1">
        <v>42977</v>
      </c>
      <c r="J6" t="str">
        <f t="shared" si="0"/>
        <v>Later</v>
      </c>
      <c r="K6" t="str" cm="1">
        <f t="array" ref="K6">_xlfn.IFS(YEAR(I6)&lt;2017,"Promotion",TRUE,"Hike")</f>
        <v>Hike</v>
      </c>
    </row>
    <row r="7" spans="1:11" x14ac:dyDescent="0.3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1">
        <v>35040</v>
      </c>
      <c r="I7" s="1">
        <v>41528</v>
      </c>
      <c r="J7" t="str">
        <f t="shared" si="0"/>
        <v>Later</v>
      </c>
      <c r="K7" t="str" cm="1">
        <f t="array" ref="K7">_xlfn.IFS(YEAR(I7)&lt;2017,"Promotion",TRUE,"Hike")</f>
        <v>Promotion</v>
      </c>
    </row>
    <row r="8" spans="1:11" x14ac:dyDescent="0.3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Later</v>
      </c>
      <c r="K8" t="str" cm="1">
        <f t="array" ref="K8">_xlfn.IFS(YEAR(I8)&lt;2017,"Promotion",TRUE,"Hike")</f>
        <v>Promotion</v>
      </c>
    </row>
    <row r="9" spans="1:11" x14ac:dyDescent="0.3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1">
        <v>37416</v>
      </c>
      <c r="I9" s="1">
        <v>42116</v>
      </c>
      <c r="J9" t="str">
        <f t="shared" si="0"/>
        <v>Recruit</v>
      </c>
      <c r="K9" t="str" cm="1">
        <f t="array" ref="K9">_xlfn.IFS(YEAR(I9)&lt;2017,"Promotion",TRUE,"Hike")</f>
        <v>Promotion</v>
      </c>
    </row>
    <row r="10" spans="1:11" x14ac:dyDescent="0.3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1">
        <v>37843</v>
      </c>
      <c r="I10" s="1">
        <v>40800</v>
      </c>
      <c r="J10" t="str">
        <f t="shared" si="0"/>
        <v>Later</v>
      </c>
      <c r="K10" t="str" cm="1">
        <f t="array" ref="K10">_xlfn.IFS(YEAR(I10)&lt;2017,"Promotion",TRUE,"Hike")</f>
        <v>Promotion</v>
      </c>
    </row>
    <row r="13" spans="1:11" x14ac:dyDescent="0.3">
      <c r="J13" t="s">
        <v>88</v>
      </c>
    </row>
    <row r="14" spans="1:11" x14ac:dyDescent="0.3">
      <c r="J14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F19" sqref="F19"/>
    </sheetView>
  </sheetViews>
  <sheetFormatPr defaultColWidth="13.6640625" defaultRowHeight="14.4" x14ac:dyDescent="0.3"/>
  <cols>
    <col min="1" max="1" width="10.6640625" bestFit="1" customWidth="1"/>
    <col min="4" max="4" width="7.6640625" customWidth="1"/>
    <col min="11" max="11" width="18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37</v>
      </c>
      <c r="K1" t="s">
        <v>38</v>
      </c>
    </row>
    <row r="2" spans="1:11" x14ac:dyDescent="0.3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1">
        <v>37197</v>
      </c>
      <c r="I2" s="1">
        <v>42253</v>
      </c>
    </row>
    <row r="3" spans="1:11" x14ac:dyDescent="0.3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1">
        <v>36436</v>
      </c>
      <c r="I3" s="1">
        <v>42287</v>
      </c>
    </row>
    <row r="4" spans="1:11" x14ac:dyDescent="0.3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1">
        <v>36711</v>
      </c>
      <c r="I4" s="1">
        <v>42986</v>
      </c>
    </row>
    <row r="5" spans="1:11" x14ac:dyDescent="0.3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3" sqref="J3"/>
    </sheetView>
  </sheetViews>
  <sheetFormatPr defaultColWidth="10.88671875" defaultRowHeight="14.4" x14ac:dyDescent="0.3"/>
  <cols>
    <col min="1" max="1" width="10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39</v>
      </c>
      <c r="L1" t="s">
        <v>40</v>
      </c>
    </row>
    <row r="2" spans="1:12" x14ac:dyDescent="0.3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3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1">
        <v>36436</v>
      </c>
      <c r="I3" s="1">
        <v>42287</v>
      </c>
      <c r="J3">
        <v>7</v>
      </c>
    </row>
    <row r="4" spans="1:12" x14ac:dyDescent="0.3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1">
        <v>36711</v>
      </c>
      <c r="I4" s="1">
        <v>42986</v>
      </c>
      <c r="J4">
        <v>7</v>
      </c>
    </row>
    <row r="5" spans="1:12" x14ac:dyDescent="0.3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1">
        <v>36530</v>
      </c>
      <c r="I5" s="1">
        <v>42341</v>
      </c>
      <c r="J5">
        <v>6</v>
      </c>
    </row>
    <row r="6" spans="1:12" x14ac:dyDescent="0.3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1">
        <v>37017</v>
      </c>
      <c r="I6" s="1">
        <v>42977</v>
      </c>
      <c r="J6">
        <v>10</v>
      </c>
    </row>
    <row r="7" spans="1:12" x14ac:dyDescent="0.3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1">
        <v>35040</v>
      </c>
      <c r="I7" s="1">
        <v>41528</v>
      </c>
      <c r="J7">
        <v>5</v>
      </c>
    </row>
    <row r="8" spans="1:12" x14ac:dyDescent="0.3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3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1">
        <v>37416</v>
      </c>
      <c r="I9" s="1">
        <v>42116</v>
      </c>
      <c r="J9">
        <v>6</v>
      </c>
    </row>
    <row r="10" spans="1:12" x14ac:dyDescent="0.3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workbookViewId="0">
      <selection activeCell="L2" sqref="L2:L10"/>
    </sheetView>
  </sheetViews>
  <sheetFormatPr defaultColWidth="14.5546875" defaultRowHeight="14.4" x14ac:dyDescent="0.3"/>
  <cols>
    <col min="4" max="4" width="8" customWidth="1"/>
    <col min="10" max="10" width="32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41</v>
      </c>
      <c r="K1" t="s">
        <v>42</v>
      </c>
      <c r="L1" t="s">
        <v>43</v>
      </c>
      <c r="M1" t="s">
        <v>43</v>
      </c>
    </row>
    <row r="2" spans="1:13" x14ac:dyDescent="0.3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2" t="s">
        <v>44</v>
      </c>
      <c r="I2" s="2" t="s">
        <v>45</v>
      </c>
      <c r="J2" s="1" t="s">
        <v>46</v>
      </c>
      <c r="K2" t="str">
        <f>LEFT(C2,3)</f>
        <v>Hal</v>
      </c>
      <c r="L2" t="str">
        <f>RIGHT(A2,2)</f>
        <v>01</v>
      </c>
    </row>
    <row r="3" spans="1:13" x14ac:dyDescent="0.3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2" t="s">
        <v>47</v>
      </c>
      <c r="I3" s="2" t="s">
        <v>48</v>
      </c>
      <c r="J3" s="1" t="s">
        <v>49</v>
      </c>
      <c r="K3" t="str">
        <f t="shared" ref="K3:K10" si="0">LEFT(C3,3)</f>
        <v>Bea</v>
      </c>
      <c r="L3" t="str">
        <f t="shared" ref="L3:L10" si="1">RIGHT(A3,2)</f>
        <v>02</v>
      </c>
    </row>
    <row r="4" spans="1:13" x14ac:dyDescent="0.3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2" t="s">
        <v>50</v>
      </c>
      <c r="I4" s="2" t="s">
        <v>51</v>
      </c>
      <c r="J4" s="1" t="s">
        <v>52</v>
      </c>
      <c r="K4" t="str">
        <f t="shared" si="0"/>
        <v>Sch</v>
      </c>
      <c r="L4" t="str">
        <f t="shared" si="1"/>
        <v>03</v>
      </c>
    </row>
    <row r="5" spans="1:13" x14ac:dyDescent="0.3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2" t="s">
        <v>53</v>
      </c>
      <c r="I5" s="2" t="s">
        <v>54</v>
      </c>
      <c r="J5" s="1" t="s">
        <v>55</v>
      </c>
      <c r="K5" t="str">
        <f t="shared" si="0"/>
        <v>Mar</v>
      </c>
      <c r="L5" t="str">
        <f t="shared" si="1"/>
        <v>04</v>
      </c>
    </row>
    <row r="6" spans="1:13" x14ac:dyDescent="0.3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2" t="s">
        <v>56</v>
      </c>
      <c r="I6" s="2" t="s">
        <v>57</v>
      </c>
      <c r="J6" s="1" t="s">
        <v>58</v>
      </c>
      <c r="K6" t="str">
        <f t="shared" si="0"/>
        <v>Fle</v>
      </c>
      <c r="L6" t="str">
        <f t="shared" si="1"/>
        <v>05</v>
      </c>
    </row>
    <row r="7" spans="1:13" x14ac:dyDescent="0.3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2" t="s">
        <v>56</v>
      </c>
      <c r="I7" s="2" t="s">
        <v>59</v>
      </c>
      <c r="J7" s="1" t="s">
        <v>60</v>
      </c>
      <c r="K7" t="str">
        <f t="shared" si="0"/>
        <v>Sco</v>
      </c>
      <c r="L7" t="str">
        <f t="shared" si="1"/>
        <v>06</v>
      </c>
    </row>
    <row r="8" spans="1:13" x14ac:dyDescent="0.3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2" t="s">
        <v>61</v>
      </c>
      <c r="I8" s="2" t="s">
        <v>59</v>
      </c>
      <c r="J8" s="1" t="s">
        <v>62</v>
      </c>
      <c r="K8" t="str">
        <f t="shared" si="0"/>
        <v>Pal</v>
      </c>
      <c r="L8" t="str">
        <f t="shared" si="1"/>
        <v>07</v>
      </c>
    </row>
    <row r="9" spans="1:13" x14ac:dyDescent="0.3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2" t="s">
        <v>63</v>
      </c>
      <c r="I9" s="2" t="s">
        <v>64</v>
      </c>
      <c r="J9" s="1" t="s">
        <v>65</v>
      </c>
      <c r="K9" t="str">
        <f t="shared" si="0"/>
        <v>Hud</v>
      </c>
      <c r="L9" t="str">
        <f t="shared" si="1"/>
        <v>08</v>
      </c>
    </row>
    <row r="10" spans="1:13" x14ac:dyDescent="0.3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2" t="s">
        <v>66</v>
      </c>
      <c r="I10" s="2" t="s">
        <v>64</v>
      </c>
      <c r="J10" s="1" t="s">
        <v>67</v>
      </c>
      <c r="K10" t="str">
        <f t="shared" si="0"/>
        <v>Mal</v>
      </c>
      <c r="L10" t="str">
        <f t="shared" si="1"/>
        <v>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workbookViewId="0">
      <selection activeCell="J2" sqref="J2:J10"/>
    </sheetView>
  </sheetViews>
  <sheetFormatPr defaultColWidth="13.6640625" defaultRowHeight="14.4" x14ac:dyDescent="0.3"/>
  <cols>
    <col min="1" max="1" width="10.6640625" bestFit="1" customWidth="1"/>
    <col min="4" max="4" width="7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68</v>
      </c>
    </row>
    <row r="2" spans="1:11" x14ac:dyDescent="0.3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1">
        <v>37197</v>
      </c>
      <c r="I2" s="1">
        <v>42253</v>
      </c>
      <c r="J2" t="str">
        <f>TEXT(H2,"mm/dd/yyyy")</f>
        <v>11/02/2001</v>
      </c>
      <c r="K2" s="2"/>
    </row>
    <row r="3" spans="1:11" x14ac:dyDescent="0.3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1">
        <v>36436</v>
      </c>
      <c r="I3" s="1">
        <v>42287</v>
      </c>
      <c r="J3" t="str">
        <f t="shared" ref="J3:J10" si="0">TEXT(H3,"mm/dd/yyyy")</f>
        <v>10/03/1999</v>
      </c>
      <c r="K3" s="2"/>
    </row>
    <row r="4" spans="1:11" x14ac:dyDescent="0.3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1">
        <v>36711</v>
      </c>
      <c r="I4" s="1">
        <v>42986</v>
      </c>
      <c r="J4" t="str">
        <f t="shared" si="0"/>
        <v>07/04/2000</v>
      </c>
      <c r="K4" s="2"/>
    </row>
    <row r="5" spans="1:11" x14ac:dyDescent="0.3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1">
        <v>36530</v>
      </c>
      <c r="I5" s="1">
        <v>42341</v>
      </c>
      <c r="J5" t="str">
        <f t="shared" si="0"/>
        <v>01/05/2000</v>
      </c>
      <c r="K5" s="2"/>
    </row>
    <row r="6" spans="1:11" x14ac:dyDescent="0.3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1">
        <v>37017</v>
      </c>
      <c r="I6" s="1">
        <v>42977</v>
      </c>
      <c r="J6" t="str">
        <f t="shared" si="0"/>
        <v>05/06/2001</v>
      </c>
      <c r="K6" s="2"/>
    </row>
    <row r="7" spans="1:11" x14ac:dyDescent="0.3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1">
        <v>35040</v>
      </c>
      <c r="I7" s="1">
        <v>41528</v>
      </c>
      <c r="J7" t="str">
        <f t="shared" si="0"/>
        <v>12/07/1995</v>
      </c>
      <c r="K7" s="2"/>
    </row>
    <row r="8" spans="1:11" x14ac:dyDescent="0.3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11/08/2003</v>
      </c>
      <c r="K8" s="2"/>
    </row>
    <row r="9" spans="1:11" x14ac:dyDescent="0.3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1">
        <v>37416</v>
      </c>
      <c r="I9" s="1">
        <v>42116</v>
      </c>
      <c r="J9" t="str">
        <f t="shared" si="0"/>
        <v>06/09/2002</v>
      </c>
      <c r="K9" s="2"/>
    </row>
    <row r="10" spans="1:11" x14ac:dyDescent="0.3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1">
        <v>37843</v>
      </c>
      <c r="I10" s="1">
        <v>40800</v>
      </c>
      <c r="J10" t="str">
        <f t="shared" si="0"/>
        <v>08/10/2003</v>
      </c>
      <c r="K10" s="2"/>
    </row>
    <row r="12" spans="1:11" x14ac:dyDescent="0.3">
      <c r="H12" s="1"/>
    </row>
    <row r="13" spans="1:11" x14ac:dyDescent="0.3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3" sqref="J3"/>
    </sheetView>
  </sheetViews>
  <sheetFormatPr defaultColWidth="13.6640625" defaultRowHeight="14.4" x14ac:dyDescent="0.3"/>
  <cols>
    <col min="1" max="1" width="10.6640625" bestFit="1" customWidth="1"/>
    <col min="4" max="4" width="7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69</v>
      </c>
      <c r="K1" t="s">
        <v>70</v>
      </c>
    </row>
    <row r="2" spans="1:11" x14ac:dyDescent="0.3">
      <c r="A2">
        <v>1001</v>
      </c>
      <c r="B2" s="2" t="s">
        <v>11</v>
      </c>
      <c r="C2" s="2" t="s">
        <v>12</v>
      </c>
      <c r="D2">
        <v>30</v>
      </c>
      <c r="E2" t="s">
        <v>13</v>
      </c>
      <c r="F2" t="s">
        <v>14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3">
      <c r="A3">
        <v>1002</v>
      </c>
      <c r="B3" s="2" t="s">
        <v>15</v>
      </c>
      <c r="C3" s="2" t="s">
        <v>16</v>
      </c>
      <c r="D3">
        <v>30</v>
      </c>
      <c r="E3" t="s">
        <v>17</v>
      </c>
      <c r="F3" t="s">
        <v>18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3">
      <c r="A4">
        <v>1003</v>
      </c>
      <c r="B4" s="2" t="s">
        <v>19</v>
      </c>
      <c r="C4" s="2" t="s">
        <v>71</v>
      </c>
      <c r="D4">
        <v>29</v>
      </c>
      <c r="E4" t="s">
        <v>13</v>
      </c>
      <c r="F4" t="s">
        <v>14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3">
      <c r="A5">
        <v>1004</v>
      </c>
      <c r="B5" s="2" t="s">
        <v>21</v>
      </c>
      <c r="C5" s="2" t="s">
        <v>22</v>
      </c>
      <c r="D5">
        <v>31</v>
      </c>
      <c r="E5" t="s">
        <v>17</v>
      </c>
      <c r="F5" t="s">
        <v>23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3">
      <c r="A6">
        <v>1005</v>
      </c>
      <c r="B6" s="2" t="s">
        <v>24</v>
      </c>
      <c r="C6" s="2" t="s">
        <v>72</v>
      </c>
      <c r="D6">
        <v>32</v>
      </c>
      <c r="E6" t="s">
        <v>13</v>
      </c>
      <c r="F6" t="s">
        <v>26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3">
      <c r="A7">
        <v>1006</v>
      </c>
      <c r="B7" s="2" t="s">
        <v>27</v>
      </c>
      <c r="C7" s="2" t="s">
        <v>73</v>
      </c>
      <c r="D7">
        <v>35</v>
      </c>
      <c r="E7" t="s">
        <v>13</v>
      </c>
      <c r="F7" t="s">
        <v>29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3">
      <c r="A8">
        <v>1007</v>
      </c>
      <c r="B8" s="2" t="s">
        <v>30</v>
      </c>
      <c r="C8" s="2" t="s">
        <v>31</v>
      </c>
      <c r="D8">
        <v>32</v>
      </c>
      <c r="E8" t="s">
        <v>17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3">
      <c r="A9">
        <v>1008</v>
      </c>
      <c r="B9" s="2" t="s">
        <v>33</v>
      </c>
      <c r="C9" s="2" t="s">
        <v>74</v>
      </c>
      <c r="D9">
        <v>38</v>
      </c>
      <c r="E9" t="s">
        <v>13</v>
      </c>
      <c r="F9" t="s">
        <v>14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3">
      <c r="A10">
        <v>1009</v>
      </c>
      <c r="B10" s="2" t="s">
        <v>35</v>
      </c>
      <c r="C10" s="2" t="s">
        <v>75</v>
      </c>
      <c r="D10">
        <v>31</v>
      </c>
      <c r="E10" t="s">
        <v>13</v>
      </c>
      <c r="F10" t="s">
        <v>23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J19" sqref="J19"/>
    </sheetView>
  </sheetViews>
  <sheetFormatPr defaultColWidth="13.6640625" defaultRowHeight="14.4" x14ac:dyDescent="0.3"/>
  <cols>
    <col min="1" max="1" width="10.6640625" bestFit="1" customWidth="1"/>
    <col min="4" max="4" width="7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76</v>
      </c>
      <c r="K1" t="s">
        <v>77</v>
      </c>
      <c r="L1" t="s">
        <v>78</v>
      </c>
    </row>
    <row r="2" spans="1:12" x14ac:dyDescent="0.3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2" t="s">
        <v>44</v>
      </c>
      <c r="I2" s="2" t="s">
        <v>45</v>
      </c>
      <c r="J2" t="str">
        <f>SUBSTITUTE(H2,"/","-",1)</f>
        <v>11-2/2001</v>
      </c>
      <c r="K2" t="str">
        <f>SUBSTITUTE(I2,"/","-",2)</f>
        <v>9/6-2015</v>
      </c>
      <c r="L2" t="str">
        <f>SUBSTITUTE(H2,"/","-")</f>
        <v>11-2-2001</v>
      </c>
    </row>
    <row r="3" spans="1:12" x14ac:dyDescent="0.3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2" t="s">
        <v>47</v>
      </c>
      <c r="I3" s="2" t="s">
        <v>48</v>
      </c>
      <c r="J3" t="str">
        <f t="shared" ref="J3:J10" si="0">SUBSTITUTE(H3,"/","-",1)</f>
        <v>10-3/1999</v>
      </c>
      <c r="K3" t="str">
        <f t="shared" ref="K3:K10" si="1">SUBSTITUTE(I3,"/","-",2)</f>
        <v>10/10-2015</v>
      </c>
      <c r="L3" t="str">
        <f t="shared" ref="L3:L10" si="2">SUBSTITUTE(H3,"/","-")</f>
        <v>10-3-1999</v>
      </c>
    </row>
    <row r="4" spans="1:12" x14ac:dyDescent="0.3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2" t="s">
        <v>50</v>
      </c>
      <c r="I4" s="2" t="s">
        <v>51</v>
      </c>
      <c r="J4" t="str">
        <f t="shared" si="0"/>
        <v>7-4/2000</v>
      </c>
      <c r="K4" t="str">
        <f t="shared" si="1"/>
        <v>9/8-2017</v>
      </c>
      <c r="L4" t="str">
        <f t="shared" si="2"/>
        <v>7-4-2000</v>
      </c>
    </row>
    <row r="5" spans="1:12" x14ac:dyDescent="0.3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2" t="s">
        <v>53</v>
      </c>
      <c r="I5" s="2" t="s">
        <v>54</v>
      </c>
      <c r="J5" t="str">
        <f t="shared" si="0"/>
        <v>1-5/2000</v>
      </c>
      <c r="K5" t="str">
        <f t="shared" si="1"/>
        <v>12/3-2015</v>
      </c>
      <c r="L5" t="str">
        <f t="shared" si="2"/>
        <v>1-5-2000</v>
      </c>
    </row>
    <row r="6" spans="1:12" x14ac:dyDescent="0.3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2" t="s">
        <v>56</v>
      </c>
      <c r="I6" s="2" t="s">
        <v>57</v>
      </c>
      <c r="J6" t="str">
        <f t="shared" si="0"/>
        <v>5-6/2001</v>
      </c>
      <c r="K6" t="str">
        <f t="shared" si="1"/>
        <v>8/30-2017</v>
      </c>
      <c r="L6" t="str">
        <f t="shared" si="2"/>
        <v>5-6-2001</v>
      </c>
    </row>
    <row r="7" spans="1:12" x14ac:dyDescent="0.3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2" t="s">
        <v>56</v>
      </c>
      <c r="I7" s="2" t="s">
        <v>59</v>
      </c>
      <c r="J7" t="str">
        <f t="shared" si="0"/>
        <v>5-6/2001</v>
      </c>
      <c r="K7" t="str">
        <f t="shared" si="1"/>
        <v>9/11-2013</v>
      </c>
      <c r="L7" t="str">
        <f t="shared" si="2"/>
        <v>5-6-2001</v>
      </c>
    </row>
    <row r="8" spans="1:12" x14ac:dyDescent="0.3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2" t="s">
        <v>61</v>
      </c>
      <c r="I8" s="2" t="s">
        <v>59</v>
      </c>
      <c r="J8" t="str">
        <f t="shared" si="0"/>
        <v>11-8/2003</v>
      </c>
      <c r="K8" t="str">
        <f t="shared" si="1"/>
        <v>9/11-2013</v>
      </c>
      <c r="L8" t="str">
        <f t="shared" si="2"/>
        <v>11-8-2003</v>
      </c>
    </row>
    <row r="9" spans="1:12" x14ac:dyDescent="0.3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2" t="s">
        <v>63</v>
      </c>
      <c r="I9" s="2" t="s">
        <v>64</v>
      </c>
      <c r="J9" t="str">
        <f t="shared" si="0"/>
        <v>6-9/2002</v>
      </c>
      <c r="K9" t="str">
        <f t="shared" si="1"/>
        <v>4/22-2015</v>
      </c>
      <c r="L9" t="str">
        <f t="shared" si="2"/>
        <v>6-9-2002</v>
      </c>
    </row>
    <row r="10" spans="1:12" x14ac:dyDescent="0.3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2" t="s">
        <v>66</v>
      </c>
      <c r="I10" s="2" t="s">
        <v>64</v>
      </c>
      <c r="J10" t="str">
        <f t="shared" si="0"/>
        <v>8-10/2003</v>
      </c>
      <c r="K10" t="str">
        <f t="shared" si="1"/>
        <v>4/22-2015</v>
      </c>
      <c r="L10" t="str">
        <f t="shared" si="2"/>
        <v>8-10-2003</v>
      </c>
    </row>
    <row r="12" spans="1:12" x14ac:dyDescent="0.3">
      <c r="H12" s="2"/>
      <c r="I12" s="2"/>
    </row>
    <row r="13" spans="1:12" x14ac:dyDescent="0.3">
      <c r="H13" s="2"/>
      <c r="I13" s="2"/>
    </row>
    <row r="14" spans="1:12" x14ac:dyDescent="0.3">
      <c r="H14" s="2"/>
      <c r="I14" s="2"/>
    </row>
    <row r="15" spans="1:12" x14ac:dyDescent="0.3">
      <c r="H15" s="2"/>
      <c r="I15" s="2"/>
    </row>
    <row r="16" spans="1:12" x14ac:dyDescent="0.3">
      <c r="H16" s="2"/>
      <c r="I16" s="2"/>
    </row>
    <row r="17" spans="8:9" x14ac:dyDescent="0.3">
      <c r="H17" s="2"/>
      <c r="I17" s="2"/>
    </row>
    <row r="18" spans="8:9" x14ac:dyDescent="0.3">
      <c r="H18" s="2"/>
      <c r="I18" s="2"/>
    </row>
    <row r="19" spans="8:9" x14ac:dyDescent="0.3">
      <c r="H19" s="2"/>
      <c r="I19" s="2"/>
    </row>
    <row r="20" spans="8:9" x14ac:dyDescent="0.3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3" sqref="L3:L10"/>
    </sheetView>
  </sheetViews>
  <sheetFormatPr defaultColWidth="13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79</v>
      </c>
      <c r="K1" t="s">
        <v>80</v>
      </c>
      <c r="L1" t="s">
        <v>81</v>
      </c>
    </row>
    <row r="2" spans="1:12" x14ac:dyDescent="0.3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SUMIF(G2:G10,"&gt;30000")</f>
        <v>437000</v>
      </c>
      <c r="L2">
        <f>SUMIFS(G2:G10,E2:E10,"Female",D2:D10,"&gt;30")</f>
        <v>88000</v>
      </c>
    </row>
    <row r="3" spans="1:12" x14ac:dyDescent="0.3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K2" sqref="K2:K10"/>
    </sheetView>
  </sheetViews>
  <sheetFormatPr defaultColWidth="13.6640625" defaultRowHeight="14.4" x14ac:dyDescent="0.3"/>
  <cols>
    <col min="1" max="1" width="10.6640625" bestFit="1" customWidth="1"/>
    <col min="4" max="4" width="7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82</v>
      </c>
      <c r="K1" t="s">
        <v>83</v>
      </c>
      <c r="L1" t="s">
        <v>84</v>
      </c>
    </row>
    <row r="2" spans="1:12" x14ac:dyDescent="0.3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COUNTIF(G2:G10,"&lt;40000")</f>
        <v>1</v>
      </c>
      <c r="L2">
        <f>COUNTIFS(G2:G10,"&gt;30000",E2:E10,"Male")</f>
        <v>6</v>
      </c>
    </row>
    <row r="3" spans="1:12" x14ac:dyDescent="0.3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1">
        <v>36436</v>
      </c>
      <c r="I3" s="1">
        <v>42287</v>
      </c>
      <c r="J3">
        <f>COUNT(G3:G11)</f>
        <v>8</v>
      </c>
      <c r="K3">
        <f t="shared" ref="K3:K10" si="0">COUNTIF(G3:G11,"&lt;40000")</f>
        <v>1</v>
      </c>
      <c r="L3">
        <f t="shared" ref="L3:L10" si="1">COUNTIFS(G3:G11,"&gt;30000",E3:E11,"Male")</f>
        <v>5</v>
      </c>
    </row>
    <row r="4" spans="1:12" x14ac:dyDescent="0.3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1">
        <v>36711</v>
      </c>
      <c r="I4" s="1">
        <v>42986</v>
      </c>
      <c r="J4">
        <f t="shared" ref="J3:J10" si="2">COUNT(G4:G12)</f>
        <v>7</v>
      </c>
      <c r="K4">
        <f t="shared" si="0"/>
        <v>0</v>
      </c>
      <c r="L4">
        <f t="shared" si="1"/>
        <v>5</v>
      </c>
    </row>
    <row r="5" spans="1:12" x14ac:dyDescent="0.3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1">
        <v>36530</v>
      </c>
      <c r="I5" s="1">
        <v>42341</v>
      </c>
      <c r="J5">
        <f t="shared" si="2"/>
        <v>6</v>
      </c>
      <c r="K5">
        <f t="shared" si="0"/>
        <v>0</v>
      </c>
      <c r="L5">
        <f t="shared" si="1"/>
        <v>4</v>
      </c>
    </row>
    <row r="6" spans="1:12" x14ac:dyDescent="0.3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1">
        <v>37017</v>
      </c>
      <c r="I6" s="1">
        <v>42977</v>
      </c>
      <c r="J6">
        <f t="shared" si="2"/>
        <v>5</v>
      </c>
      <c r="K6">
        <f t="shared" si="0"/>
        <v>0</v>
      </c>
      <c r="L6">
        <f t="shared" si="1"/>
        <v>4</v>
      </c>
    </row>
    <row r="7" spans="1:12" x14ac:dyDescent="0.3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1">
        <v>35040</v>
      </c>
      <c r="I7" s="1">
        <v>41528</v>
      </c>
      <c r="J7">
        <f t="shared" si="2"/>
        <v>4</v>
      </c>
      <c r="K7">
        <f t="shared" si="0"/>
        <v>0</v>
      </c>
      <c r="L7">
        <f t="shared" si="1"/>
        <v>3</v>
      </c>
    </row>
    <row r="8" spans="1:12" x14ac:dyDescent="0.3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1">
        <v>37933</v>
      </c>
      <c r="I8" s="1">
        <v>41551</v>
      </c>
      <c r="J8">
        <f t="shared" si="2"/>
        <v>3</v>
      </c>
      <c r="K8">
        <f t="shared" si="0"/>
        <v>0</v>
      </c>
      <c r="L8">
        <f t="shared" si="1"/>
        <v>2</v>
      </c>
    </row>
    <row r="9" spans="1:12" x14ac:dyDescent="0.3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1">
        <v>37416</v>
      </c>
      <c r="I9" s="1">
        <v>42116</v>
      </c>
      <c r="J9">
        <f t="shared" si="2"/>
        <v>2</v>
      </c>
      <c r="K9">
        <f t="shared" si="0"/>
        <v>0</v>
      </c>
      <c r="L9">
        <f t="shared" si="1"/>
        <v>2</v>
      </c>
    </row>
    <row r="10" spans="1:12" x14ac:dyDescent="0.3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1">
        <v>37843</v>
      </c>
      <c r="I10" s="1">
        <v>40800</v>
      </c>
      <c r="J10">
        <f t="shared" si="2"/>
        <v>1</v>
      </c>
      <c r="K10">
        <f t="shared" si="0"/>
        <v>0</v>
      </c>
      <c r="L10">
        <f t="shared" si="1"/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J12"/>
  <sheetViews>
    <sheetView tabSelected="1" workbookViewId="0">
      <selection activeCell="J2" sqref="J2:J12"/>
    </sheetView>
  </sheetViews>
  <sheetFormatPr defaultRowHeight="14.4" x14ac:dyDescent="0.3"/>
  <cols>
    <col min="2" max="2" width="10.44140625" customWidth="1"/>
    <col min="3" max="5" width="10.6640625" customWidth="1"/>
    <col min="6" max="6" width="16.5546875" customWidth="1"/>
    <col min="8" max="8" width="14.33203125" customWidth="1"/>
    <col min="9" max="9" width="14.6640625" customWidth="1"/>
    <col min="10" max="10" width="22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85</v>
      </c>
    </row>
    <row r="2" spans="1:10" x14ac:dyDescent="0.3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1">
        <v>37197</v>
      </c>
      <c r="I2" s="1">
        <v>42253</v>
      </c>
      <c r="J2" t="str">
        <f>_xlfn.CONCAT(B2," ",C2)</f>
        <v>Jim Halpert</v>
      </c>
    </row>
    <row r="3" spans="1:10" x14ac:dyDescent="0.3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1">
        <v>36436</v>
      </c>
      <c r="I3" s="1">
        <v>42287</v>
      </c>
      <c r="J3" t="str">
        <f t="shared" ref="J3:J12" si="0">_xlfn.CONCAT(B3," ",C3)</f>
        <v>Pam Beasley</v>
      </c>
    </row>
    <row r="4" spans="1:10" x14ac:dyDescent="0.3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1">
        <v>36711</v>
      </c>
      <c r="I4" s="1">
        <v>42986</v>
      </c>
      <c r="J4" t="str">
        <f t="shared" si="0"/>
        <v>Dwight Schrute</v>
      </c>
    </row>
    <row r="5" spans="1:10" x14ac:dyDescent="0.3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1">
        <v>36530</v>
      </c>
      <c r="I5" s="1">
        <v>42341</v>
      </c>
      <c r="J5" t="str">
        <f t="shared" si="0"/>
        <v>Angela Martin</v>
      </c>
    </row>
    <row r="6" spans="1:10" x14ac:dyDescent="0.3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1">
        <v>37017</v>
      </c>
      <c r="I6" s="1">
        <v>42977</v>
      </c>
      <c r="J6" t="str">
        <f t="shared" si="0"/>
        <v>Toby Flenderson</v>
      </c>
    </row>
    <row r="7" spans="1:10" x14ac:dyDescent="0.3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1">
        <v>35040</v>
      </c>
      <c r="I7" s="1">
        <v>41528</v>
      </c>
      <c r="J7" t="str">
        <f t="shared" si="0"/>
        <v>Michael Scott</v>
      </c>
    </row>
    <row r="8" spans="1:10" x14ac:dyDescent="0.3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</row>
    <row r="9" spans="1:10" x14ac:dyDescent="0.3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1">
        <v>37416</v>
      </c>
      <c r="I9" s="1">
        <v>42116</v>
      </c>
      <c r="J9" t="str">
        <f t="shared" si="0"/>
        <v>Stanley Hudson</v>
      </c>
    </row>
    <row r="10" spans="1:10" x14ac:dyDescent="0.3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1">
        <v>37843</v>
      </c>
      <c r="I10" s="1">
        <v>40800</v>
      </c>
      <c r="J10" t="str">
        <f t="shared" si="0"/>
        <v>Kevin Malone</v>
      </c>
    </row>
    <row r="11" spans="1:10" x14ac:dyDescent="0.3">
      <c r="H11" t="str">
        <f t="shared" ref="H11:H12" si="1">CONCATENATE(B11," ",C11)</f>
        <v xml:space="preserve"> </v>
      </c>
      <c r="J11" t="str">
        <f t="shared" si="0"/>
        <v xml:space="preserve"> </v>
      </c>
    </row>
    <row r="12" spans="1:10" x14ac:dyDescent="0.3">
      <c r="H12" t="str">
        <f t="shared" si="1"/>
        <v xml:space="preserve"> </v>
      </c>
      <c r="J12" t="str">
        <f t="shared" si="0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workbookViewId="0">
      <selection activeCell="K17" sqref="K17"/>
    </sheetView>
  </sheetViews>
  <sheetFormatPr defaultRowHeight="14.4" x14ac:dyDescent="0.3"/>
  <cols>
    <col min="8" max="8" width="14.44140625" customWidth="1"/>
    <col min="9" max="9" width="13.33203125" customWidth="1"/>
    <col min="10" max="10" width="12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86</v>
      </c>
      <c r="K1" t="s">
        <v>87</v>
      </c>
    </row>
    <row r="2" spans="1:11" x14ac:dyDescent="0.3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2" t="s">
        <v>44</v>
      </c>
      <c r="I2" s="1" t="s">
        <v>45</v>
      </c>
      <c r="J2">
        <f>_xlfn.DAYS(I2,H2)</f>
        <v>5231</v>
      </c>
      <c r="K2">
        <f>NETWORKDAYS(H2,I2,10)</f>
        <v>3737</v>
      </c>
    </row>
    <row r="3" spans="1:11" x14ac:dyDescent="0.3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2" t="s">
        <v>47</v>
      </c>
      <c r="I3" s="1" t="s">
        <v>48</v>
      </c>
      <c r="J3">
        <f t="shared" ref="J3:J10" si="0">_xlfn.DAYS(I3,H3)</f>
        <v>6058</v>
      </c>
      <c r="K3">
        <f t="shared" ref="K3:K10" si="1">NETWORKDAYS(H3,I3,10)</f>
        <v>4328</v>
      </c>
    </row>
    <row r="4" spans="1:11" x14ac:dyDescent="0.3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2" t="s">
        <v>50</v>
      </c>
      <c r="I4" s="1" t="s">
        <v>51</v>
      </c>
      <c r="J4">
        <f t="shared" si="0"/>
        <v>6333</v>
      </c>
      <c r="K4">
        <f t="shared" si="1"/>
        <v>4524</v>
      </c>
    </row>
    <row r="5" spans="1:11" x14ac:dyDescent="0.3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2" t="s">
        <v>53</v>
      </c>
      <c r="I5" s="1" t="s">
        <v>54</v>
      </c>
      <c r="J5">
        <f t="shared" si="0"/>
        <v>5428</v>
      </c>
      <c r="K5">
        <f t="shared" si="1"/>
        <v>3879</v>
      </c>
    </row>
    <row r="6" spans="1:11" x14ac:dyDescent="0.3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2" t="s">
        <v>56</v>
      </c>
      <c r="I6" s="1">
        <v>42977</v>
      </c>
      <c r="J6">
        <f>_xlfn.DAYS(I6,H6)</f>
        <v>5930</v>
      </c>
      <c r="K6">
        <f t="shared" si="1"/>
        <v>4237</v>
      </c>
    </row>
    <row r="7" spans="1:11" x14ac:dyDescent="0.3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2" t="s">
        <v>56</v>
      </c>
      <c r="I7" s="1" t="s">
        <v>59</v>
      </c>
      <c r="J7">
        <f t="shared" si="0"/>
        <v>4540</v>
      </c>
      <c r="K7">
        <f t="shared" si="1"/>
        <v>3244</v>
      </c>
    </row>
    <row r="8" spans="1:11" x14ac:dyDescent="0.3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2" t="s">
        <v>61</v>
      </c>
      <c r="I8" s="1" t="s">
        <v>59</v>
      </c>
      <c r="J8">
        <f t="shared" si="0"/>
        <v>3743</v>
      </c>
      <c r="K8">
        <f t="shared" si="1"/>
        <v>2675</v>
      </c>
    </row>
    <row r="9" spans="1:11" x14ac:dyDescent="0.3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2" t="s">
        <v>63</v>
      </c>
      <c r="I9" s="1">
        <v>42116</v>
      </c>
      <c r="J9">
        <f t="shared" si="0"/>
        <v>4611</v>
      </c>
      <c r="K9">
        <f t="shared" si="1"/>
        <v>3294</v>
      </c>
    </row>
    <row r="10" spans="1:11" x14ac:dyDescent="0.3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2" t="s">
        <v>66</v>
      </c>
      <c r="I10" s="1">
        <v>42116</v>
      </c>
      <c r="J10">
        <f t="shared" si="0"/>
        <v>4214</v>
      </c>
      <c r="K10">
        <f t="shared" si="1"/>
        <v>3011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Freberg</dc:creator>
  <cp:keywords/>
  <dc:description/>
  <cp:lastModifiedBy>lathacreation6@outlook.com</cp:lastModifiedBy>
  <cp:revision/>
  <dcterms:created xsi:type="dcterms:W3CDTF">2021-12-16T14:18:34Z</dcterms:created>
  <dcterms:modified xsi:type="dcterms:W3CDTF">2026-06-18T19:09:07Z</dcterms:modified>
  <cp:category/>
  <cp:contentStatus/>
</cp:coreProperties>
</file>